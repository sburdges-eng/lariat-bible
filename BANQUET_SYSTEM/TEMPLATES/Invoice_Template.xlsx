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Invoice" sheetId="1" state="visible" r:id="rId1"/>
    <sheet name="Kitchen Prep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4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164" fontId="2" fillId="0" borderId="1" pivotButton="0" quotePrefix="0" xfId="0"/>
    <xf numFmtId="0" fontId="4" fillId="0" borderId="0" applyAlignment="1" pivotButton="0" quotePrefix="0" xfId="0">
      <alignment horizontal="right"/>
    </xf>
    <xf numFmtId="164" fontId="4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2" customWidth="1" min="4" max="4"/>
    <col width="30" customWidth="1" min="5" max="5"/>
    <col width="30" customWidth="1" min="6" max="6"/>
    <col width="12" customWidth="1" min="7" max="7"/>
  </cols>
  <sheetData>
    <row r="1">
      <c r="A1" s="1" t="inlineStr">
        <is>
          <t>LARIAT BANQUET INVOICE</t>
        </is>
      </c>
      <c r="F1" s="2" t="inlineStr">
        <is>
          <t>PRICE LOOKUP TABLE</t>
        </is>
      </c>
    </row>
    <row r="2">
      <c r="A2" s="3" t="inlineStr">
        <is>
          <t>Client Name:</t>
        </is>
      </c>
      <c r="B2" t="inlineStr"/>
      <c r="D2" s="3" t="inlineStr">
        <is>
          <t>Event Type:</t>
        </is>
      </c>
      <c r="E2" t="inlineStr"/>
      <c r="F2" s="4" t="inlineStr">
        <is>
          <t>Item Name</t>
        </is>
      </c>
      <c r="G2" s="4" t="inlineStr">
        <is>
          <t>Unit Price</t>
        </is>
      </c>
    </row>
    <row r="3">
      <c r="A3" s="3" t="inlineStr">
        <is>
          <t>Event Date:</t>
        </is>
      </c>
      <c r="B3" t="inlineStr"/>
      <c r="D3" s="3" t="inlineStr">
        <is>
          <t>Contact:</t>
        </is>
      </c>
      <c r="E3" t="inlineStr"/>
      <c r="F3" s="5" t="inlineStr">
        <is>
          <t>Mini Rellenos</t>
        </is>
      </c>
      <c r="G3" s="6" t="n">
        <v>3.5</v>
      </c>
    </row>
    <row r="4">
      <c r="A4" s="3" t="inlineStr">
        <is>
          <t>Guest Count:</t>
        </is>
      </c>
      <c r="B4" t="inlineStr"/>
      <c r="D4" s="3" t="inlineStr">
        <is>
          <t>Phone:</t>
        </is>
      </c>
      <c r="E4" t="inlineStr"/>
      <c r="F4" s="5" t="inlineStr">
        <is>
          <t>Corn Dogs</t>
        </is>
      </c>
      <c r="G4" s="6" t="n">
        <v>2</v>
      </c>
    </row>
    <row r="5">
      <c r="F5" s="5" t="inlineStr">
        <is>
          <t>Mac Balls</t>
        </is>
      </c>
      <c r="G5" s="6" t="n">
        <v>2.5</v>
      </c>
    </row>
    <row r="6">
      <c r="A6" s="7" t="inlineStr">
        <is>
          <t>Item Name</t>
        </is>
      </c>
      <c r="B6" s="7" t="inlineStr">
        <is>
          <t>Unit Cost</t>
        </is>
      </c>
      <c r="C6" s="7" t="inlineStr">
        <is>
          <t>Quantity</t>
        </is>
      </c>
      <c r="D6" s="7" t="inlineStr">
        <is>
          <t>Total</t>
        </is>
      </c>
      <c r="E6" s="7" t="inlineStr">
        <is>
          <t>Notes</t>
        </is>
      </c>
      <c r="F6" s="5" t="inlineStr">
        <is>
          <t>Deviled Eggs</t>
        </is>
      </c>
      <c r="G6" s="6" t="n">
        <v>2</v>
      </c>
    </row>
    <row r="7">
      <c r="A7" s="5" t="n"/>
      <c r="B7" s="6">
        <f>IFNA(VLOOKUP(A7,F$2:G$100,2,FALSE),"")</f>
        <v/>
      </c>
      <c r="C7" s="8" t="n"/>
      <c r="D7" s="6">
        <f>IF(AND(B7&lt;&gt;"",C7&lt;&gt;""),B7*C7,"")</f>
        <v/>
      </c>
      <c r="E7" s="5" t="n"/>
      <c r="F7" s="5" t="inlineStr">
        <is>
          <t>Caprese Skewers</t>
        </is>
      </c>
      <c r="G7" s="6" t="n">
        <v>3</v>
      </c>
    </row>
    <row r="8">
      <c r="A8" s="5" t="n"/>
      <c r="B8" s="6">
        <f>IFNA(VLOOKUP(A8,F$2:G$100,2,FALSE),"")</f>
        <v/>
      </c>
      <c r="C8" s="8" t="n"/>
      <c r="D8" s="6">
        <f>IF(AND(B8&lt;&gt;"",C8&lt;&gt;""),B8*C8,"")</f>
        <v/>
      </c>
      <c r="E8" s="5" t="n"/>
      <c r="F8" s="5" t="inlineStr">
        <is>
          <t>Pig Wings</t>
        </is>
      </c>
      <c r="G8" s="6" t="n">
        <v>4</v>
      </c>
    </row>
    <row r="9">
      <c r="A9" s="5" t="n"/>
      <c r="B9" s="6">
        <f>IFNA(VLOOKUP(A9,F$2:G$100,2,FALSE),"")</f>
        <v/>
      </c>
      <c r="C9" s="8" t="n"/>
      <c r="D9" s="6">
        <f>IF(AND(B9&lt;&gt;"",C9&lt;&gt;""),B9*C9,"")</f>
        <v/>
      </c>
      <c r="E9" s="5" t="n"/>
      <c r="F9" s="5" t="inlineStr">
        <is>
          <t>Nashville Hot Chicken Sliders</t>
        </is>
      </c>
      <c r="G9" s="6" t="n">
        <v>5</v>
      </c>
    </row>
    <row r="10">
      <c r="A10" s="5" t="n"/>
      <c r="B10" s="6">
        <f>IFNA(VLOOKUP(A10,F$2:G$100,2,FALSE),"")</f>
        <v/>
      </c>
      <c r="C10" s="8" t="n"/>
      <c r="D10" s="6">
        <f>IF(AND(B10&lt;&gt;"",C10&lt;&gt;""),B10*C10,"")</f>
        <v/>
      </c>
      <c r="E10" s="5" t="n"/>
      <c r="F10" s="5" t="inlineStr">
        <is>
          <t>Lariat Burger Sliders</t>
        </is>
      </c>
      <c r="G10" s="6" t="n">
        <v>4.5</v>
      </c>
    </row>
    <row r="11">
      <c r="A11" s="5" t="n"/>
      <c r="B11" s="6">
        <f>IFNA(VLOOKUP(A11,F$2:G$100,2,FALSE),"")</f>
        <v/>
      </c>
      <c r="C11" s="8" t="n"/>
      <c r="D11" s="6">
        <f>IF(AND(B11&lt;&gt;"",C11&lt;&gt;""),B11*C11,"")</f>
        <v/>
      </c>
      <c r="E11" s="5" t="n"/>
      <c r="F11" s="5" t="inlineStr">
        <is>
          <t>Battered Avocado Tacos</t>
        </is>
      </c>
      <c r="G11" s="6" t="n">
        <v>4</v>
      </c>
    </row>
    <row r="12">
      <c r="A12" s="5" t="n"/>
      <c r="B12" s="6">
        <f>IFNA(VLOOKUP(A12,F$2:G$100,2,FALSE),"")</f>
        <v/>
      </c>
      <c r="C12" s="8" t="n"/>
      <c r="D12" s="6">
        <f>IF(AND(B12&lt;&gt;"",C12&lt;&gt;""),B12*C12,"")</f>
        <v/>
      </c>
      <c r="E12" s="5" t="n"/>
      <c r="F12" s="5" t="inlineStr">
        <is>
          <t>Carnitas Tacos</t>
        </is>
      </c>
      <c r="G12" s="6" t="n">
        <v>4.5</v>
      </c>
    </row>
    <row r="13">
      <c r="A13" s="5" t="n"/>
      <c r="B13" s="6">
        <f>IFNA(VLOOKUP(A13,F$2:G$100,2,FALSE),"")</f>
        <v/>
      </c>
      <c r="C13" s="8" t="n"/>
      <c r="D13" s="6">
        <f>IF(AND(B13&lt;&gt;"",C13&lt;&gt;""),B13*C13,"")</f>
        <v/>
      </c>
      <c r="E13" s="5" t="n"/>
      <c r="F13" s="5" t="inlineStr">
        <is>
          <t>Barbacoa Tacos</t>
        </is>
      </c>
      <c r="G13" s="6" t="n">
        <v>5</v>
      </c>
    </row>
    <row r="14">
      <c r="A14" s="5" t="n"/>
      <c r="B14" s="6">
        <f>IFNA(VLOOKUP(A14,F$2:G$100,2,FALSE),"")</f>
        <v/>
      </c>
      <c r="C14" s="8" t="n"/>
      <c r="D14" s="6">
        <f>IF(AND(B14&lt;&gt;"",C14&lt;&gt;""),B14*C14,"")</f>
        <v/>
      </c>
      <c r="E14" s="5" t="n"/>
      <c r="F14" s="5" t="inlineStr">
        <is>
          <t>Fish Tacos</t>
        </is>
      </c>
      <c r="G14" s="6" t="n">
        <v>5.5</v>
      </c>
    </row>
    <row r="15">
      <c r="A15" s="5" t="n"/>
      <c r="B15" s="6">
        <f>IFNA(VLOOKUP(A15,F$2:G$100,2,FALSE),"")</f>
        <v/>
      </c>
      <c r="C15" s="8" t="n"/>
      <c r="D15" s="6">
        <f>IF(AND(B15&lt;&gt;"",C15&lt;&gt;""),B15*C15,"")</f>
        <v/>
      </c>
      <c r="E15" s="5" t="n"/>
      <c r="F15" s="5" t="inlineStr">
        <is>
          <t>Green Chile Mac</t>
        </is>
      </c>
      <c r="G15" s="6" t="n">
        <v>6</v>
      </c>
    </row>
    <row r="16">
      <c r="A16" s="5" t="n"/>
      <c r="B16" s="6">
        <f>IFNA(VLOOKUP(A16,F$2:G$100,2,FALSE),"")</f>
        <v/>
      </c>
      <c r="C16" s="8" t="n"/>
      <c r="D16" s="6">
        <f>IF(AND(B16&lt;&gt;"",C16&lt;&gt;""),B16*C16,"")</f>
        <v/>
      </c>
      <c r="E16" s="5" t="n"/>
      <c r="F16" s="5" t="inlineStr">
        <is>
          <t>Rope Caesar Salad</t>
        </is>
      </c>
      <c r="G16" s="6" t="n">
        <v>5</v>
      </c>
    </row>
    <row r="17">
      <c r="A17" s="5" t="n"/>
      <c r="B17" s="6">
        <f>IFNA(VLOOKUP(A17,F$2:G$100,2,FALSE),"")</f>
        <v/>
      </c>
      <c r="C17" s="8" t="n"/>
      <c r="D17" s="6">
        <f>IF(AND(B17&lt;&gt;"",C17&lt;&gt;""),B17*C17,"")</f>
        <v/>
      </c>
      <c r="E17" s="5" t="n"/>
      <c r="F17" s="5" t="inlineStr">
        <is>
          <t>Cobb Salad</t>
        </is>
      </c>
      <c r="G17" s="6" t="n">
        <v>6.5</v>
      </c>
    </row>
    <row r="18">
      <c r="A18" s="5" t="n"/>
      <c r="B18" s="6">
        <f>IFNA(VLOOKUP(A18,F$2:G$100,2,FALSE),"")</f>
        <v/>
      </c>
      <c r="C18" s="8" t="n"/>
      <c r="D18" s="6">
        <f>IF(AND(B18&lt;&gt;"",C18&lt;&gt;""),B18*C18,"")</f>
        <v/>
      </c>
      <c r="E18" s="5" t="n"/>
      <c r="F18" s="5" t="inlineStr">
        <is>
          <t>Coleslaw</t>
        </is>
      </c>
      <c r="G18" s="6" t="n">
        <v>3</v>
      </c>
    </row>
    <row r="19">
      <c r="A19" s="5" t="n"/>
      <c r="B19" s="6">
        <f>IFNA(VLOOKUP(A19,F$2:G$100,2,FALSE),"")</f>
        <v/>
      </c>
      <c r="C19" s="8" t="n"/>
      <c r="D19" s="6">
        <f>IF(AND(B19&lt;&gt;"",C19&lt;&gt;""),B19*C19,"")</f>
        <v/>
      </c>
      <c r="E19" s="5" t="n"/>
      <c r="F19" s="5" t="inlineStr">
        <is>
          <t>Cornbread</t>
        </is>
      </c>
      <c r="G19" s="6" t="n">
        <v>2</v>
      </c>
    </row>
    <row r="20">
      <c r="A20" s="5" t="n"/>
      <c r="B20" s="6">
        <f>IFNA(VLOOKUP(A20,F$2:G$100,2,FALSE),"")</f>
        <v/>
      </c>
      <c r="C20" s="8" t="n"/>
      <c r="D20" s="6">
        <f>IF(AND(B20&lt;&gt;"",C20&lt;&gt;""),B20*C20,"")</f>
        <v/>
      </c>
      <c r="E20" s="5" t="n"/>
      <c r="F20" s="5" t="inlineStr">
        <is>
          <t>Chips &amp; Salsa</t>
        </is>
      </c>
      <c r="G20" s="6" t="n">
        <v>4</v>
      </c>
    </row>
    <row r="21">
      <c r="A21" s="5" t="n"/>
      <c r="B21" s="6">
        <f>IFNA(VLOOKUP(A21,F$2:G$100,2,FALSE),"")</f>
        <v/>
      </c>
      <c r="C21" s="8" t="n"/>
      <c r="D21" s="6">
        <f>IF(AND(B21&lt;&gt;"",C21&lt;&gt;""),B21*C21,"")</f>
        <v/>
      </c>
      <c r="E21" s="5" t="n"/>
      <c r="F21" s="5" t="inlineStr">
        <is>
          <t>Chips &amp; Queso</t>
        </is>
      </c>
      <c r="G21" s="6" t="n">
        <v>5</v>
      </c>
    </row>
    <row r="22">
      <c r="A22" s="5" t="n"/>
      <c r="B22" s="6">
        <f>IFNA(VLOOKUP(A22,F$2:G$100,2,FALSE),"")</f>
        <v/>
      </c>
      <c r="C22" s="8" t="n"/>
      <c r="D22" s="6">
        <f>IF(AND(B22&lt;&gt;"",C22&lt;&gt;""),B22*C22,"")</f>
        <v/>
      </c>
      <c r="E22" s="5" t="n"/>
      <c r="F22" s="5" t="inlineStr">
        <is>
          <t>Blackened Salsa</t>
        </is>
      </c>
      <c r="G22" s="6" t="n">
        <v>1.5</v>
      </c>
    </row>
    <row r="23">
      <c r="A23" s="5" t="n"/>
      <c r="B23" s="6">
        <f>IFNA(VLOOKUP(A23,F$2:G$100,2,FALSE),"")</f>
        <v/>
      </c>
      <c r="C23" s="8" t="n"/>
      <c r="D23" s="6">
        <f>IF(AND(B23&lt;&gt;"",C23&lt;&gt;""),B23*C23,"")</f>
        <v/>
      </c>
      <c r="E23" s="5" t="n"/>
      <c r="F23" s="5" t="inlineStr">
        <is>
          <t>Pico de Gallo</t>
        </is>
      </c>
      <c r="G23" s="6" t="n">
        <v>1.5</v>
      </c>
    </row>
    <row r="24">
      <c r="A24" s="5" t="n"/>
      <c r="B24" s="6">
        <f>IFNA(VLOOKUP(A24,F$2:G$100,2,FALSE),"")</f>
        <v/>
      </c>
      <c r="C24" s="8" t="n"/>
      <c r="D24" s="6">
        <f>IF(AND(B24&lt;&gt;"",C24&lt;&gt;""),B24*C24,"")</f>
        <v/>
      </c>
      <c r="E24" s="5" t="n"/>
      <c r="F24" s="5" t="inlineStr">
        <is>
          <t>Tomatillo Salsa</t>
        </is>
      </c>
      <c r="G24" s="6" t="n">
        <v>1.5</v>
      </c>
    </row>
    <row r="25">
      <c r="A25" s="5" t="n"/>
      <c r="B25" s="6">
        <f>IFNA(VLOOKUP(A25,F$2:G$100,2,FALSE),"")</f>
        <v/>
      </c>
      <c r="C25" s="8" t="n"/>
      <c r="D25" s="6">
        <f>IF(AND(B25&lt;&gt;"",C25&lt;&gt;""),B25*C25,"")</f>
        <v/>
      </c>
      <c r="E25" s="5" t="n"/>
      <c r="F25" s="5" t="inlineStr">
        <is>
          <t>Chipotle Aioli</t>
        </is>
      </c>
      <c r="G25" s="6" t="n">
        <v>1</v>
      </c>
    </row>
    <row r="26">
      <c r="A26" s="5" t="n"/>
      <c r="B26" s="6">
        <f>IFNA(VLOOKUP(A26,F$2:G$100,2,FALSE),"")</f>
        <v/>
      </c>
      <c r="C26" s="8" t="n"/>
      <c r="D26" s="6">
        <f>IF(AND(B26&lt;&gt;"",C26&lt;&gt;""),B26*C26,"")</f>
        <v/>
      </c>
      <c r="E26" s="5" t="n"/>
      <c r="F26" s="5" t="inlineStr">
        <is>
          <t>Aji Verde</t>
        </is>
      </c>
      <c r="G26" s="6" t="n">
        <v>1</v>
      </c>
    </row>
    <row r="27">
      <c r="F27" s="5" t="inlineStr">
        <is>
          <t>Alabama White Sauce</t>
        </is>
      </c>
      <c r="G27" s="6" t="n">
        <v>1</v>
      </c>
    </row>
    <row r="28">
      <c r="C28" s="9" t="inlineStr">
        <is>
          <t>Subtotal:</t>
        </is>
      </c>
      <c r="D28" s="10">
        <f>SUM(D7:D26)</f>
        <v/>
      </c>
      <c r="F28" s="5" t="inlineStr">
        <is>
          <t>Tartar Sauce</t>
        </is>
      </c>
      <c r="G28" s="6" t="n">
        <v>1</v>
      </c>
    </row>
    <row r="29">
      <c r="C29" s="9" t="inlineStr">
        <is>
          <t>Tax (8.15%):</t>
        </is>
      </c>
      <c r="D29" s="6">
        <f>D28*0.0815</f>
        <v/>
      </c>
      <c r="F29" s="5" t="inlineStr">
        <is>
          <t>Special Sauce</t>
        </is>
      </c>
      <c r="G29" s="6" t="n">
        <v>1</v>
      </c>
    </row>
    <row r="30">
      <c r="C30" s="9" t="inlineStr">
        <is>
          <t>Service Fee (20%):</t>
        </is>
      </c>
      <c r="D30" s="6">
        <f>D28*0.20</f>
        <v/>
      </c>
      <c r="F30" s="5" t="inlineStr">
        <is>
          <t>Santa Fe Caesar Dressing</t>
        </is>
      </c>
      <c r="G30" s="6" t="n">
        <v>1</v>
      </c>
    </row>
    <row r="31">
      <c r="C31" s="11" t="inlineStr">
        <is>
          <t>TOTAL:</t>
        </is>
      </c>
      <c r="D31" s="12">
        <f>D28+D29+D30</f>
        <v/>
      </c>
      <c r="F31" s="5" t="inlineStr">
        <is>
          <t>Buttermilk Brine (per gallon)</t>
        </is>
      </c>
      <c r="G31" s="6" t="n">
        <v>8</v>
      </c>
    </row>
    <row r="32">
      <c r="F32" s="5" t="inlineStr">
        <is>
          <t>Lariat Rub (per batch)</t>
        </is>
      </c>
      <c r="G32" s="6" t="n">
        <v>5</v>
      </c>
    </row>
    <row r="33">
      <c r="C33" s="9" t="inlineStr">
        <is>
          <t>Minimum Spend:</t>
        </is>
      </c>
      <c r="D33" s="6" t="inlineStr"/>
      <c r="F33" s="5" t="inlineStr">
        <is>
          <t>Nashville Hot Rub (per batch)</t>
        </is>
      </c>
      <c r="G33" s="6" t="n">
        <v>6</v>
      </c>
    </row>
    <row r="34">
      <c r="C34" s="9" t="inlineStr">
        <is>
          <t>Over/Under Minimum:</t>
        </is>
      </c>
      <c r="D34" s="6">
        <f>IF(D33&lt;&gt;"",D28-D33,"")</f>
        <v/>
      </c>
      <c r="F34" s="5" t="n"/>
      <c r="G34" s="6" t="n"/>
    </row>
    <row r="35">
      <c r="F35" s="5" t="n"/>
      <c r="G35" s="6" t="n"/>
    </row>
    <row r="36">
      <c r="F36" s="5" t="n"/>
      <c r="G36" s="6" t="n"/>
    </row>
    <row r="37">
      <c r="F37" s="5" t="n"/>
      <c r="G37" s="6" t="n"/>
    </row>
    <row r="38">
      <c r="F38" s="5" t="n"/>
      <c r="G38" s="6" t="n"/>
    </row>
    <row r="39">
      <c r="F39" s="5" t="n"/>
      <c r="G39" s="6" t="n"/>
    </row>
    <row r="40">
      <c r="F40" s="5" t="n"/>
      <c r="G40" s="6" t="n"/>
    </row>
    <row r="41">
      <c r="F41" s="5" t="n"/>
      <c r="G41" s="6" t="n"/>
    </row>
    <row r="42">
      <c r="F42" s="5" t="n"/>
      <c r="G42" s="6" t="n"/>
    </row>
    <row r="43">
      <c r="F43" s="5" t="n"/>
      <c r="G43" s="6" t="n"/>
    </row>
    <row r="44">
      <c r="F44" s="5" t="n"/>
      <c r="G44" s="6" t="n"/>
    </row>
    <row r="45">
      <c r="F45" s="5" t="n"/>
      <c r="G45" s="6" t="n"/>
    </row>
    <row r="46">
      <c r="F46" s="5" t="n"/>
      <c r="G46" s="6" t="n"/>
    </row>
    <row r="47">
      <c r="F47" s="5" t="n"/>
      <c r="G47" s="6" t="n"/>
    </row>
    <row r="48">
      <c r="F48" s="5" t="n"/>
      <c r="G48" s="6" t="n"/>
    </row>
    <row r="49">
      <c r="F49" s="5" t="n"/>
      <c r="G49" s="6" t="n"/>
    </row>
    <row r="50">
      <c r="F50" s="5" t="n"/>
      <c r="G50" s="6" t="n"/>
    </row>
    <row r="51">
      <c r="F51" s="5" t="n"/>
      <c r="G51" s="6" t="n"/>
    </row>
    <row r="52">
      <c r="F52" s="5" t="n"/>
      <c r="G52" s="6" t="n"/>
    </row>
    <row r="53">
      <c r="F53" s="5" t="n"/>
      <c r="G53" s="6" t="n"/>
    </row>
    <row r="54">
      <c r="F54" s="5" t="n"/>
      <c r="G54" s="6" t="n"/>
    </row>
    <row r="55">
      <c r="F55" s="5" t="n"/>
      <c r="G55" s="6" t="n"/>
    </row>
    <row r="56">
      <c r="F56" s="5" t="n"/>
      <c r="G56" s="6" t="n"/>
    </row>
    <row r="57">
      <c r="F57" s="5" t="n"/>
      <c r="G57" s="6" t="n"/>
    </row>
    <row r="58">
      <c r="F58" s="5" t="n"/>
      <c r="G58" s="6" t="n"/>
    </row>
    <row r="59">
      <c r="F59" s="5" t="n"/>
      <c r="G59" s="6" t="n"/>
    </row>
    <row r="60">
      <c r="F60" s="5" t="n"/>
      <c r="G60" s="6" t="n"/>
    </row>
    <row r="61">
      <c r="F61" s="5" t="n"/>
      <c r="G61" s="6" t="n"/>
    </row>
    <row r="62">
      <c r="F62" s="5" t="n"/>
      <c r="G62" s="6" t="n"/>
    </row>
    <row r="63">
      <c r="F63" s="5" t="n"/>
      <c r="G63" s="6" t="n"/>
    </row>
    <row r="64">
      <c r="F64" s="5" t="n"/>
      <c r="G64" s="6" t="n"/>
    </row>
    <row r="65">
      <c r="F65" s="5" t="n"/>
      <c r="G65" s="6" t="n"/>
    </row>
    <row r="66">
      <c r="F66" s="5" t="n"/>
      <c r="G66" s="6" t="n"/>
    </row>
    <row r="67">
      <c r="F67" s="5" t="n"/>
      <c r="G67" s="6" t="n"/>
    </row>
    <row r="68">
      <c r="F68" s="5" t="n"/>
      <c r="G68" s="6" t="n"/>
    </row>
    <row r="69">
      <c r="F69" s="5" t="n"/>
      <c r="G69" s="6" t="n"/>
    </row>
    <row r="70">
      <c r="F70" s="5" t="n"/>
      <c r="G70" s="6" t="n"/>
    </row>
    <row r="71">
      <c r="F71" s="5" t="n"/>
      <c r="G71" s="6" t="n"/>
    </row>
    <row r="72">
      <c r="F72" s="5" t="n"/>
      <c r="G72" s="6" t="n"/>
    </row>
    <row r="73">
      <c r="F73" s="5" t="n"/>
      <c r="G73" s="6" t="n"/>
    </row>
    <row r="74">
      <c r="F74" s="5" t="n"/>
      <c r="G74" s="6" t="n"/>
    </row>
    <row r="75">
      <c r="F75" s="5" t="n"/>
      <c r="G75" s="6" t="n"/>
    </row>
    <row r="76">
      <c r="F76" s="5" t="n"/>
      <c r="G76" s="6" t="n"/>
    </row>
    <row r="77">
      <c r="F77" s="5" t="n"/>
      <c r="G77" s="6" t="n"/>
    </row>
    <row r="78">
      <c r="F78" s="5" t="n"/>
      <c r="G78" s="6" t="n"/>
    </row>
    <row r="79">
      <c r="F79" s="5" t="n"/>
      <c r="G79" s="6" t="n"/>
    </row>
    <row r="80">
      <c r="F80" s="5" t="n"/>
      <c r="G80" s="6" t="n"/>
    </row>
    <row r="81">
      <c r="F81" s="5" t="n"/>
      <c r="G81" s="6" t="n"/>
    </row>
    <row r="82">
      <c r="F82" s="5" t="n"/>
      <c r="G82" s="6" t="n"/>
    </row>
    <row r="83">
      <c r="F83" s="5" t="n"/>
      <c r="G83" s="6" t="n"/>
    </row>
    <row r="84">
      <c r="F84" s="5" t="n"/>
      <c r="G84" s="6" t="n"/>
    </row>
    <row r="85">
      <c r="F85" s="5" t="n"/>
      <c r="G85" s="6" t="n"/>
    </row>
    <row r="86">
      <c r="F86" s="5" t="n"/>
      <c r="G86" s="6" t="n"/>
    </row>
    <row r="87">
      <c r="F87" s="5" t="n"/>
      <c r="G87" s="6" t="n"/>
    </row>
    <row r="88">
      <c r="F88" s="5" t="n"/>
      <c r="G88" s="6" t="n"/>
    </row>
    <row r="89">
      <c r="F89" s="5" t="n"/>
      <c r="G89" s="6" t="n"/>
    </row>
    <row r="90">
      <c r="F90" s="5" t="n"/>
      <c r="G90" s="6" t="n"/>
    </row>
    <row r="91">
      <c r="F91" s="5" t="n"/>
      <c r="G91" s="6" t="n"/>
    </row>
    <row r="92">
      <c r="F92" s="5" t="n"/>
      <c r="G92" s="6" t="n"/>
    </row>
    <row r="93">
      <c r="F93" s="5" t="n"/>
      <c r="G93" s="6" t="n"/>
    </row>
    <row r="94">
      <c r="F94" s="5" t="n"/>
      <c r="G94" s="6" t="n"/>
    </row>
    <row r="95">
      <c r="F95" s="5" t="n"/>
      <c r="G95" s="6" t="n"/>
    </row>
    <row r="96">
      <c r="F96" s="5" t="n"/>
      <c r="G96" s="6" t="n"/>
    </row>
    <row r="97">
      <c r="F97" s="5" t="n"/>
      <c r="G97" s="6" t="n"/>
    </row>
    <row r="98">
      <c r="F98" s="5" t="n"/>
      <c r="G98" s="6" t="n"/>
    </row>
    <row r="99">
      <c r="F99" s="5" t="n"/>
      <c r="G99" s="6" t="n"/>
    </row>
    <row r="100">
      <c r="F100" s="5" t="n"/>
      <c r="G100" s="6" t="n"/>
    </row>
  </sheetData>
  <mergeCells count="2">
    <mergeCell ref="A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35" customWidth="1" min="4" max="4"/>
    <col width="35" customWidth="1" min="5" max="5"/>
    <col width="12" customWidth="1" min="6" max="6"/>
    <col width="35" customWidth="1" min="7" max="7"/>
  </cols>
  <sheetData>
    <row r="1">
      <c r="A1" s="1" t="inlineStr">
        <is>
          <t>KITCHEN PREP SHEET</t>
        </is>
      </c>
    </row>
    <row r="3">
      <c r="A3" s="13" t="inlineStr">
        <is>
          <t>Item Name</t>
        </is>
      </c>
      <c r="B3" s="13" t="inlineStr">
        <is>
          <t>Quantity</t>
        </is>
      </c>
      <c r="C3" s="13" t="inlineStr">
        <is>
          <t>Prep Day</t>
        </is>
      </c>
      <c r="D3" s="13" t="inlineStr">
        <is>
          <t>Pre-Prep Tasks</t>
        </is>
      </c>
      <c r="E3" s="13" t="inlineStr">
        <is>
          <t>Plating Instructions</t>
        </is>
      </c>
      <c r="F3" s="13" t="inlineStr">
        <is>
          <t>Time to Serve</t>
        </is>
      </c>
      <c r="G3" s="13" t="inlineStr">
        <is>
          <t>Notes</t>
        </is>
      </c>
    </row>
    <row r="4">
      <c r="A4" s="5">
        <f>'Client Invoice'!A7</f>
        <v/>
      </c>
      <c r="B4" s="8">
        <f>'Client Invoice'!C7</f>
        <v/>
      </c>
      <c r="C4" s="5" t="n"/>
      <c r="D4" s="5" t="n"/>
      <c r="E4" s="5" t="n"/>
      <c r="F4" s="5" t="n"/>
      <c r="G4" s="5" t="n"/>
    </row>
    <row r="5">
      <c r="A5" s="5">
        <f>'Client Invoice'!A8</f>
        <v/>
      </c>
      <c r="B5" s="8">
        <f>'Client Invoice'!C8</f>
        <v/>
      </c>
      <c r="C5" s="5" t="n"/>
      <c r="D5" s="5" t="n"/>
      <c r="E5" s="5" t="n"/>
      <c r="F5" s="5" t="n"/>
      <c r="G5" s="5" t="n"/>
    </row>
    <row r="6">
      <c r="A6" s="5">
        <f>'Client Invoice'!A9</f>
        <v/>
      </c>
      <c r="B6" s="8">
        <f>'Client Invoice'!C9</f>
        <v/>
      </c>
      <c r="C6" s="5" t="n"/>
      <c r="D6" s="5" t="n"/>
      <c r="E6" s="5" t="n"/>
      <c r="F6" s="5" t="n"/>
      <c r="G6" s="5" t="n"/>
    </row>
    <row r="7">
      <c r="A7" s="5">
        <f>'Client Invoice'!A10</f>
        <v/>
      </c>
      <c r="B7" s="8">
        <f>'Client Invoice'!C10</f>
        <v/>
      </c>
      <c r="C7" s="5" t="n"/>
      <c r="D7" s="5" t="n"/>
      <c r="E7" s="5" t="n"/>
      <c r="F7" s="5" t="n"/>
      <c r="G7" s="5" t="n"/>
    </row>
    <row r="8">
      <c r="A8" s="5">
        <f>'Client Invoice'!A11</f>
        <v/>
      </c>
      <c r="B8" s="8">
        <f>'Client Invoice'!C11</f>
        <v/>
      </c>
      <c r="C8" s="5" t="n"/>
      <c r="D8" s="5" t="n"/>
      <c r="E8" s="5" t="n"/>
      <c r="F8" s="5" t="n"/>
      <c r="G8" s="5" t="n"/>
    </row>
    <row r="9">
      <c r="A9" s="5">
        <f>'Client Invoice'!A12</f>
        <v/>
      </c>
      <c r="B9" s="8">
        <f>'Client Invoice'!C12</f>
        <v/>
      </c>
      <c r="C9" s="5" t="n"/>
      <c r="D9" s="5" t="n"/>
      <c r="E9" s="5" t="n"/>
      <c r="F9" s="5" t="n"/>
      <c r="G9" s="5" t="n"/>
    </row>
    <row r="10">
      <c r="A10" s="5">
        <f>'Client Invoice'!A13</f>
        <v/>
      </c>
      <c r="B10" s="8">
        <f>'Client Invoice'!C13</f>
        <v/>
      </c>
      <c r="C10" s="5" t="n"/>
      <c r="D10" s="5" t="n"/>
      <c r="E10" s="5" t="n"/>
      <c r="F10" s="5" t="n"/>
      <c r="G10" s="5" t="n"/>
    </row>
    <row r="11">
      <c r="A11" s="5">
        <f>'Client Invoice'!A14</f>
        <v/>
      </c>
      <c r="B11" s="8">
        <f>'Client Invoice'!C14</f>
        <v/>
      </c>
      <c r="C11" s="5" t="n"/>
      <c r="D11" s="5" t="n"/>
      <c r="E11" s="5" t="n"/>
      <c r="F11" s="5" t="n"/>
      <c r="G11" s="5" t="n"/>
    </row>
    <row r="12">
      <c r="A12" s="5">
        <f>'Client Invoice'!A15</f>
        <v/>
      </c>
      <c r="B12" s="8">
        <f>'Client Invoice'!C15</f>
        <v/>
      </c>
      <c r="C12" s="5" t="n"/>
      <c r="D12" s="5" t="n"/>
      <c r="E12" s="5" t="n"/>
      <c r="F12" s="5" t="n"/>
      <c r="G12" s="5" t="n"/>
    </row>
    <row r="13">
      <c r="A13" s="5">
        <f>'Client Invoice'!A16</f>
        <v/>
      </c>
      <c r="B13" s="8">
        <f>'Client Invoice'!C16</f>
        <v/>
      </c>
      <c r="C13" s="5" t="n"/>
      <c r="D13" s="5" t="n"/>
      <c r="E13" s="5" t="n"/>
      <c r="F13" s="5" t="n"/>
      <c r="G13" s="5" t="n"/>
    </row>
    <row r="14">
      <c r="A14" s="5">
        <f>'Client Invoice'!A17</f>
        <v/>
      </c>
      <c r="B14" s="8">
        <f>'Client Invoice'!C17</f>
        <v/>
      </c>
      <c r="C14" s="5" t="n"/>
      <c r="D14" s="5" t="n"/>
      <c r="E14" s="5" t="n"/>
      <c r="F14" s="5" t="n"/>
      <c r="G14" s="5" t="n"/>
    </row>
    <row r="15">
      <c r="A15" s="5">
        <f>'Client Invoice'!A18</f>
        <v/>
      </c>
      <c r="B15" s="8">
        <f>'Client Invoice'!C18</f>
        <v/>
      </c>
      <c r="C15" s="5" t="n"/>
      <c r="D15" s="5" t="n"/>
      <c r="E15" s="5" t="n"/>
      <c r="F15" s="5" t="n"/>
      <c r="G15" s="5" t="n"/>
    </row>
    <row r="16">
      <c r="A16" s="5">
        <f>'Client Invoice'!A19</f>
        <v/>
      </c>
      <c r="B16" s="8">
        <f>'Client Invoice'!C19</f>
        <v/>
      </c>
      <c r="C16" s="5" t="n"/>
      <c r="D16" s="5" t="n"/>
      <c r="E16" s="5" t="n"/>
      <c r="F16" s="5" t="n"/>
      <c r="G16" s="5" t="n"/>
    </row>
    <row r="17">
      <c r="A17" s="5">
        <f>'Client Invoice'!A20</f>
        <v/>
      </c>
      <c r="B17" s="8">
        <f>'Client Invoice'!C20</f>
        <v/>
      </c>
      <c r="C17" s="5" t="n"/>
      <c r="D17" s="5" t="n"/>
      <c r="E17" s="5" t="n"/>
      <c r="F17" s="5" t="n"/>
      <c r="G17" s="5" t="n"/>
    </row>
    <row r="18">
      <c r="A18" s="5">
        <f>'Client Invoice'!A21</f>
        <v/>
      </c>
      <c r="B18" s="8">
        <f>'Client Invoice'!C21</f>
        <v/>
      </c>
      <c r="C18" s="5" t="n"/>
      <c r="D18" s="5" t="n"/>
      <c r="E18" s="5" t="n"/>
      <c r="F18" s="5" t="n"/>
      <c r="G18" s="5" t="n"/>
    </row>
    <row r="19">
      <c r="A19" s="5">
        <f>'Client Invoice'!A22</f>
        <v/>
      </c>
      <c r="B19" s="8">
        <f>'Client Invoice'!C22</f>
        <v/>
      </c>
      <c r="C19" s="5" t="n"/>
      <c r="D19" s="5" t="n"/>
      <c r="E19" s="5" t="n"/>
      <c r="F19" s="5" t="n"/>
      <c r="G19" s="5" t="n"/>
    </row>
    <row r="20">
      <c r="A20" s="5">
        <f>'Client Invoice'!A23</f>
        <v/>
      </c>
      <c r="B20" s="8">
        <f>'Client Invoice'!C23</f>
        <v/>
      </c>
      <c r="C20" s="5" t="n"/>
      <c r="D20" s="5" t="n"/>
      <c r="E20" s="5" t="n"/>
      <c r="F20" s="5" t="n"/>
      <c r="G20" s="5" t="n"/>
    </row>
    <row r="21">
      <c r="A21" s="5">
        <f>'Client Invoice'!A24</f>
        <v/>
      </c>
      <c r="B21" s="8">
        <f>'Client Invoice'!C24</f>
        <v/>
      </c>
      <c r="C21" s="5" t="n"/>
      <c r="D21" s="5" t="n"/>
      <c r="E21" s="5" t="n"/>
      <c r="F21" s="5" t="n"/>
      <c r="G21" s="5" t="n"/>
    </row>
    <row r="22">
      <c r="A22" s="5">
        <f>'Client Invoice'!A25</f>
        <v/>
      </c>
      <c r="B22" s="8">
        <f>'Client Invoice'!C25</f>
        <v/>
      </c>
      <c r="C22" s="5" t="n"/>
      <c r="D22" s="5" t="n"/>
      <c r="E22" s="5" t="n"/>
      <c r="F22" s="5" t="n"/>
      <c r="G22" s="5" t="n"/>
    </row>
    <row r="23">
      <c r="A23" s="5">
        <f>'Client Invoice'!A26</f>
        <v/>
      </c>
      <c r="B23" s="8">
        <f>'Client Invoice'!C26</f>
        <v/>
      </c>
      <c r="C23" s="5" t="n"/>
      <c r="D23" s="5" t="n"/>
      <c r="E23" s="5" t="n"/>
      <c r="F23" s="5" t="n"/>
      <c r="G23" s="5" t="n"/>
    </row>
    <row r="25">
      <c r="A25" s="14" t="inlineStr">
        <is>
          <t>PREP DAY OPTIONS: Thursday (braises, stocks), Friday (final prep), Saturday (service prep)</t>
        </is>
      </c>
    </row>
  </sheetData>
  <mergeCells count="2"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2025-11-19T11:30:56Z</dcterms:created>
  <dcterms:modified xsi:type="dcterms:W3CDTF">2025-11-19T11:30:56Z</dcterms:modified>
</cp:coreProperties>
</file>